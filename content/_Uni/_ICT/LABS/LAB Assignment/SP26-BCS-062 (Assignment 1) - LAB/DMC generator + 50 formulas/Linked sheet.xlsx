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wn Tech\Documents\"/>
    </mc:Choice>
  </mc:AlternateContent>
  <xr:revisionPtr revIDLastSave="0" documentId="8_{96C68B1A-E1A7-41C8-964A-3B1E9BB9EFBC}" xr6:coauthVersionLast="36" xr6:coauthVersionMax="36" xr10:uidLastSave="{00000000-0000-0000-0000-000000000000}"/>
  <bookViews>
    <workbookView xWindow="0" yWindow="0" windowWidth="21268" windowHeight="9305" activeTab="1" xr2:uid="{3EA659C5-9AFA-4504-9702-F138DF562F2E}"/>
  </bookViews>
  <sheets>
    <sheet name="GPA" sheetId="1" r:id="rId1"/>
    <sheet name="Breakdow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3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<sst xmlns="http://schemas.openxmlformats.org/spreadsheetml/2006/main" count="46" uniqueCount="28">
  <si>
    <t>Student Name</t>
  </si>
  <si>
    <t>Maths</t>
  </si>
  <si>
    <t>Physics</t>
  </si>
  <si>
    <t>Biology</t>
  </si>
  <si>
    <t>Chemistry</t>
  </si>
  <si>
    <t>Pakistan Studies</t>
  </si>
  <si>
    <t>Urdu</t>
  </si>
  <si>
    <t>English</t>
  </si>
  <si>
    <t>Islamiat</t>
  </si>
  <si>
    <t>Percentage</t>
  </si>
  <si>
    <t>GPA</t>
  </si>
  <si>
    <t>Ahmed Khan</t>
  </si>
  <si>
    <t>Ayesha Ali</t>
  </si>
  <si>
    <t>Hassan Sheikh</t>
  </si>
  <si>
    <t>Fatima Malik</t>
  </si>
  <si>
    <t>Zain Qureshi</t>
  </si>
  <si>
    <t>Sana Rehman</t>
  </si>
  <si>
    <t>Bilal Chaudhry</t>
  </si>
  <si>
    <t>Hina Siddiqui</t>
  </si>
  <si>
    <t>Omar Raza</t>
  </si>
  <si>
    <t>Amina Khan</t>
  </si>
  <si>
    <t>Usman Iqbal</t>
  </si>
  <si>
    <t>Maryam Tariq</t>
  </si>
  <si>
    <t>Ali Hussain</t>
  </si>
  <si>
    <t>Sara Javed</t>
  </si>
  <si>
    <t>Imran Farooq</t>
  </si>
  <si>
    <t>Khadija Niazi</t>
  </si>
  <si>
    <t>GPA is linked from "GPA sheet"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</si>
</sst>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3" borderId="3" xfId="0" applyFon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E5EE-861C-414A-82FC-6F5D8FFC7DAA}">
  <dimension ref="A1:C17"/>
  <sheetViews>
    <sheetView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2"/>
      <c r="C1" s="2" t="s">
        <v>10</v>
      </c>
    </row>
    <row r="2" spans="1:3" x14ac:dyDescent="0.3">
      <c r="A2" s="3" t="s">
        <v>11</v>
      </c>
      <c r="B2" s="3"/>
      <c r="C2" s="4">
        <v>3.67</v>
      </c>
    </row>
    <row r="3" spans="1:3" x14ac:dyDescent="0.3">
      <c r="A3" s="3" t="s">
        <v>12</v>
      </c>
      <c r="B3" s="3"/>
      <c r="C3" s="4">
        <v>3.9</v>
      </c>
    </row>
    <row r="4" spans="1:3" x14ac:dyDescent="0.3">
      <c r="A4" s="3" t="s">
        <v>13</v>
      </c>
      <c r="B4" s="3"/>
      <c r="C4" s="4">
        <v>4</v>
      </c>
    </row>
    <row r="5" spans="1:3" x14ac:dyDescent="0.3">
      <c r="A5" s="3" t="s">
        <v>14</v>
      </c>
      <c r="B5" s="3"/>
      <c r="C5" s="4">
        <v>2.5</v>
      </c>
    </row>
    <row r="6" spans="1:3" x14ac:dyDescent="0.3">
      <c r="A6" s="3" t="s">
        <v>15</v>
      </c>
      <c r="B6" s="3"/>
      <c r="C6" s="4">
        <v>1.9</v>
      </c>
    </row>
    <row r="7" spans="1:3" x14ac:dyDescent="0.3">
      <c r="A7" s="3" t="s">
        <v>16</v>
      </c>
      <c r="B7" s="3"/>
      <c r="C7" s="4">
        <v>3.2</v>
      </c>
    </row>
    <row r="8" spans="1:3" x14ac:dyDescent="0.3">
      <c r="A8" s="3" t="s">
        <v>17</v>
      </c>
      <c r="B8" s="3"/>
      <c r="C8" s="5">
        <v>2.2999999999999998</v>
      </c>
    </row>
    <row r="9" spans="1:3" x14ac:dyDescent="0.3">
      <c r="A9" s="3" t="s">
        <v>18</v>
      </c>
      <c r="B9" s="3"/>
      <c r="C9" s="5">
        <v>3.1</v>
      </c>
    </row>
    <row r="10" spans="1:3" x14ac:dyDescent="0.3">
      <c r="A10" s="3" t="s">
        <v>19</v>
      </c>
      <c r="B10" s="3"/>
      <c r="C10" s="5">
        <v>2.9</v>
      </c>
    </row>
    <row r="11" spans="1:3" x14ac:dyDescent="0.3">
      <c r="A11" s="3" t="s">
        <v>20</v>
      </c>
      <c r="B11" s="3"/>
      <c r="C11" s="5">
        <v>4</v>
      </c>
    </row>
    <row r="12" spans="1:3" x14ac:dyDescent="0.3">
      <c r="A12" s="3" t="s">
        <v>21</v>
      </c>
      <c r="B12" s="3"/>
      <c r="C12" s="5">
        <v>2.7</v>
      </c>
    </row>
    <row r="13" spans="1:3" x14ac:dyDescent="0.3">
      <c r="A13" s="3" t="s">
        <v>22</v>
      </c>
      <c r="B13" s="3"/>
      <c r="C13" s="5">
        <v>3.2</v>
      </c>
    </row>
    <row r="14" spans="1:3" x14ac:dyDescent="0.3">
      <c r="A14" s="3" t="s">
        <v>23</v>
      </c>
      <c r="B14" s="3"/>
      <c r="C14" s="5">
        <v>3.7</v>
      </c>
    </row>
    <row r="15" spans="1:3" x14ac:dyDescent="0.3">
      <c r="A15" s="3" t="s">
        <v>24</v>
      </c>
      <c r="B15" s="3"/>
      <c r="C15" s="5">
        <v>2.9</v>
      </c>
    </row>
    <row r="16" spans="1:3" x14ac:dyDescent="0.3">
      <c r="A16" s="3" t="s">
        <v>25</v>
      </c>
      <c r="B16" s="3"/>
      <c r="C16" s="5">
        <v>3.5</v>
      </c>
    </row>
    <row r="17" spans="1:3" x14ac:dyDescent="0.3">
      <c r="A17" s="3" t="s">
        <v>26</v>
      </c>
      <c r="B17" s="3"/>
      <c r="C17" s="5">
        <v>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291D-8082-47B5-9527-BB6872A2D933}">
  <dimension ref="A1:P18"/>
  <sheetViews>
    <sheetView tabSelected="1" workbookViewId="0">
      <selection activeCell="P3" sqref="P3"/>
    </sheetView>
  </sheetViews>
  <sheetFormatPr defaultRowHeight="14.4" x14ac:dyDescent="0.3"/>
  <sheetData>
    <row r="1" spans="1:16" x14ac:dyDescent="0.3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6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6"/>
      <c r="M2" s="6"/>
      <c r="N2" s="6"/>
      <c r="O2" s="6"/>
      <c r="P2" s="6"/>
    </row>
    <row r="3" spans="1:16" x14ac:dyDescent="0.3">
      <c r="A3" s="3" t="s">
        <v>11</v>
      </c>
      <c r="B3" s="3">
        <v>78</v>
      </c>
      <c r="C3" s="3">
        <v>85</v>
      </c>
      <c r="D3" s="3">
        <v>74</v>
      </c>
      <c r="E3" s="3">
        <v>81</v>
      </c>
      <c r="F3" s="3">
        <v>69</v>
      </c>
      <c r="G3" s="3">
        <v>88</v>
      </c>
      <c r="H3" s="3">
        <v>77</v>
      </c>
      <c r="I3" s="3">
        <v>90</v>
      </c>
      <c r="J3" s="3">
        <f>SUM(B3:I3)/800 *100</f>
        <v>80.25</v>
      </c>
      <c r="K3" s="4">
        <f>GPA!C2</f>
        <v>3.67</v>
      </c>
      <c r="L3" s="6"/>
      <c r="M3" s="6"/>
      <c r="N3" s="6"/>
      <c r="O3" s="6"/>
      <c r="P3" s="6"/>
    </row>
    <row r="4" spans="1:16" x14ac:dyDescent="0.3">
      <c r="A4" s="3" t="s">
        <v>12</v>
      </c>
      <c r="B4" s="3">
        <v>62</v>
      </c>
      <c r="C4" s="3">
        <v>71</v>
      </c>
      <c r="D4" s="3">
        <v>65</v>
      </c>
      <c r="E4" s="3">
        <v>70</v>
      </c>
      <c r="F4" s="3">
        <v>58</v>
      </c>
      <c r="G4" s="3">
        <v>79</v>
      </c>
      <c r="H4" s="3">
        <v>69</v>
      </c>
      <c r="I4" s="3">
        <v>72</v>
      </c>
      <c r="J4" s="3">
        <f t="shared" ref="J4:J18" si="0">SUM(B4:I4)/800 *100</f>
        <v>68.25</v>
      </c>
      <c r="K4" s="4">
        <f>GPA!C3</f>
        <v>3.9</v>
      </c>
      <c r="L4" s="6"/>
      <c r="M4" s="6"/>
      <c r="N4" s="6"/>
      <c r="O4" s="6"/>
      <c r="P4" s="6"/>
    </row>
    <row r="5" spans="1:16" x14ac:dyDescent="0.3">
      <c r="A5" s="3" t="s">
        <v>13</v>
      </c>
      <c r="B5" s="3">
        <v>89</v>
      </c>
      <c r="C5" s="3">
        <v>92</v>
      </c>
      <c r="D5" s="3">
        <v>90</v>
      </c>
      <c r="E5" s="3">
        <v>94</v>
      </c>
      <c r="F5" s="3">
        <v>85</v>
      </c>
      <c r="G5" s="3">
        <v>91</v>
      </c>
      <c r="H5" s="3">
        <v>86</v>
      </c>
      <c r="I5" s="3">
        <v>93</v>
      </c>
      <c r="J5" s="3">
        <f t="shared" si="0"/>
        <v>90</v>
      </c>
      <c r="K5" s="4">
        <f>GPA!C4</f>
        <v>4</v>
      </c>
      <c r="L5" s="6"/>
      <c r="M5" s="6"/>
      <c r="N5" s="6"/>
      <c r="O5" s="6"/>
      <c r="P5" s="6"/>
    </row>
    <row r="6" spans="1:16" x14ac:dyDescent="0.3">
      <c r="A6" s="3" t="s">
        <v>14</v>
      </c>
      <c r="B6" s="3">
        <v>54</v>
      </c>
      <c r="C6" s="3">
        <v>59</v>
      </c>
      <c r="D6" s="3">
        <v>55</v>
      </c>
      <c r="E6" s="3">
        <v>57</v>
      </c>
      <c r="F6" s="3">
        <v>61</v>
      </c>
      <c r="G6" s="3">
        <v>64</v>
      </c>
      <c r="H6" s="3">
        <v>59</v>
      </c>
      <c r="I6" s="3">
        <v>63</v>
      </c>
      <c r="J6" s="3">
        <f t="shared" si="0"/>
        <v>59</v>
      </c>
      <c r="K6" s="4">
        <f>GPA!C5</f>
        <v>2.5</v>
      </c>
      <c r="L6" s="6"/>
      <c r="M6" s="6"/>
      <c r="N6" s="6"/>
      <c r="O6" s="6"/>
      <c r="P6" s="6"/>
    </row>
    <row r="7" spans="1:16" x14ac:dyDescent="0.3">
      <c r="A7" s="3" t="s">
        <v>15</v>
      </c>
      <c r="B7" s="3">
        <v>73</v>
      </c>
      <c r="C7" s="3">
        <v>77</v>
      </c>
      <c r="D7" s="3">
        <v>68</v>
      </c>
      <c r="E7" s="3">
        <v>72</v>
      </c>
      <c r="F7" s="3">
        <v>66</v>
      </c>
      <c r="G7" s="3">
        <v>74</v>
      </c>
      <c r="H7" s="3">
        <v>70</v>
      </c>
      <c r="I7" s="3">
        <v>75</v>
      </c>
      <c r="J7" s="3">
        <f t="shared" si="0"/>
        <v>71.875</v>
      </c>
      <c r="K7" s="4">
        <f>GPA!C6</f>
        <v>1.9</v>
      </c>
      <c r="L7" s="6"/>
      <c r="M7" s="6"/>
      <c r="N7" s="6"/>
      <c r="O7" s="6"/>
      <c r="P7" s="6"/>
    </row>
    <row r="8" spans="1:16" x14ac:dyDescent="0.3">
      <c r="A8" s="3" t="s">
        <v>16</v>
      </c>
      <c r="B8" s="3">
        <v>81</v>
      </c>
      <c r="C8" s="3">
        <v>84</v>
      </c>
      <c r="D8" s="3">
        <v>79</v>
      </c>
      <c r="E8" s="3">
        <v>83</v>
      </c>
      <c r="F8" s="3">
        <v>77</v>
      </c>
      <c r="G8" s="3">
        <v>85</v>
      </c>
      <c r="H8" s="3">
        <v>80</v>
      </c>
      <c r="I8" s="3">
        <v>87</v>
      </c>
      <c r="J8" s="3">
        <f t="shared" si="0"/>
        <v>82</v>
      </c>
      <c r="K8" s="4">
        <f>GPA!C7</f>
        <v>3.2</v>
      </c>
      <c r="L8" s="6"/>
      <c r="M8" s="6"/>
      <c r="N8" s="6"/>
      <c r="O8" s="6"/>
      <c r="P8" s="6"/>
    </row>
    <row r="9" spans="1:16" x14ac:dyDescent="0.3">
      <c r="A9" s="3" t="s">
        <v>17</v>
      </c>
      <c r="B9" s="3">
        <v>47</v>
      </c>
      <c r="C9" s="3">
        <v>52</v>
      </c>
      <c r="D9" s="3">
        <v>45</v>
      </c>
      <c r="E9" s="3">
        <v>50</v>
      </c>
      <c r="F9" s="3">
        <v>49</v>
      </c>
      <c r="G9" s="3">
        <v>53</v>
      </c>
      <c r="H9" s="3">
        <v>48</v>
      </c>
      <c r="I9" s="3">
        <v>54</v>
      </c>
      <c r="J9" s="3">
        <f t="shared" si="0"/>
        <v>49.75</v>
      </c>
      <c r="K9" s="4">
        <f>GPA!C8</f>
        <v>2.2999999999999998</v>
      </c>
      <c r="L9" s="6"/>
      <c r="M9" s="6"/>
      <c r="N9" s="6"/>
      <c r="O9" s="6"/>
      <c r="P9" s="6"/>
    </row>
    <row r="10" spans="1:16" x14ac:dyDescent="0.3">
      <c r="A10" s="3" t="s">
        <v>18</v>
      </c>
      <c r="B10" s="3">
        <v>90</v>
      </c>
      <c r="C10" s="3">
        <v>95</v>
      </c>
      <c r="D10" s="3">
        <v>91</v>
      </c>
      <c r="E10" s="3">
        <v>92</v>
      </c>
      <c r="F10" s="3">
        <v>88</v>
      </c>
      <c r="G10" s="3">
        <v>93</v>
      </c>
      <c r="H10" s="3">
        <v>89</v>
      </c>
      <c r="I10" s="3">
        <v>94</v>
      </c>
      <c r="J10" s="3">
        <f t="shared" si="0"/>
        <v>91.5</v>
      </c>
      <c r="K10" s="4">
        <f>GPA!C9</f>
        <v>3.1</v>
      </c>
      <c r="L10" s="6"/>
      <c r="M10" s="6"/>
      <c r="N10" s="6"/>
      <c r="O10" s="6"/>
      <c r="P10" s="6"/>
    </row>
    <row r="11" spans="1:16" x14ac:dyDescent="0.3">
      <c r="A11" s="3" t="s">
        <v>19</v>
      </c>
      <c r="B11" s="3">
        <v>68</v>
      </c>
      <c r="C11" s="3">
        <v>73</v>
      </c>
      <c r="D11" s="3">
        <v>66</v>
      </c>
      <c r="E11" s="3">
        <v>69</v>
      </c>
      <c r="F11" s="3">
        <v>62</v>
      </c>
      <c r="G11" s="3">
        <v>70</v>
      </c>
      <c r="H11" s="3">
        <v>67</v>
      </c>
      <c r="I11" s="3">
        <v>71</v>
      </c>
      <c r="J11" s="3">
        <f t="shared" si="0"/>
        <v>68.25</v>
      </c>
      <c r="K11" s="4">
        <f>GPA!C10</f>
        <v>2.9</v>
      </c>
      <c r="L11" s="6"/>
      <c r="M11" s="6"/>
      <c r="N11" s="6"/>
      <c r="O11" s="6"/>
      <c r="P11" s="6"/>
    </row>
    <row r="12" spans="1:16" x14ac:dyDescent="0.3">
      <c r="A12" s="3" t="s">
        <v>20</v>
      </c>
      <c r="B12" s="3">
        <v>75</v>
      </c>
      <c r="C12" s="3">
        <v>80</v>
      </c>
      <c r="D12" s="3">
        <v>73</v>
      </c>
      <c r="E12" s="3">
        <v>76</v>
      </c>
      <c r="F12" s="3">
        <v>70</v>
      </c>
      <c r="G12" s="3">
        <v>78</v>
      </c>
      <c r="H12" s="3">
        <v>74</v>
      </c>
      <c r="I12" s="3">
        <v>79</v>
      </c>
      <c r="J12" s="3">
        <f t="shared" si="0"/>
        <v>75.625</v>
      </c>
      <c r="K12" s="4">
        <f>GPA!C11</f>
        <v>4</v>
      </c>
      <c r="L12" s="6"/>
      <c r="M12" s="6"/>
      <c r="N12" s="6"/>
      <c r="O12" s="6"/>
      <c r="P12" s="6"/>
    </row>
    <row r="13" spans="1:16" x14ac:dyDescent="0.3">
      <c r="A13" s="3" t="s">
        <v>21</v>
      </c>
      <c r="B13" s="3">
        <v>59</v>
      </c>
      <c r="C13" s="3">
        <v>64</v>
      </c>
      <c r="D13" s="3">
        <v>60</v>
      </c>
      <c r="E13" s="3">
        <v>62</v>
      </c>
      <c r="F13" s="3">
        <v>57</v>
      </c>
      <c r="G13" s="3">
        <v>65</v>
      </c>
      <c r="H13" s="3">
        <v>61</v>
      </c>
      <c r="I13" s="3">
        <v>66</v>
      </c>
      <c r="J13" s="3">
        <f t="shared" si="0"/>
        <v>61.750000000000007</v>
      </c>
      <c r="K13" s="4">
        <f>GPA!C12</f>
        <v>2.7</v>
      </c>
      <c r="L13" s="6"/>
      <c r="M13" s="6"/>
      <c r="N13" s="6"/>
      <c r="O13" s="6"/>
      <c r="P13" s="6"/>
    </row>
    <row r="14" spans="1:16" x14ac:dyDescent="0.3">
      <c r="A14" s="3" t="s">
        <v>22</v>
      </c>
      <c r="B14" s="3">
        <v>83</v>
      </c>
      <c r="C14" s="3">
        <v>87</v>
      </c>
      <c r="D14" s="3">
        <v>82</v>
      </c>
      <c r="E14" s="3">
        <v>85</v>
      </c>
      <c r="F14" s="3">
        <v>79</v>
      </c>
      <c r="G14" s="3">
        <v>86</v>
      </c>
      <c r="H14" s="3">
        <v>82</v>
      </c>
      <c r="I14" s="3">
        <v>88</v>
      </c>
      <c r="J14" s="3">
        <f t="shared" si="0"/>
        <v>84</v>
      </c>
      <c r="K14" s="4">
        <f>GPA!C13</f>
        <v>3.2</v>
      </c>
      <c r="L14" s="6"/>
      <c r="M14" s="6"/>
      <c r="N14" s="6"/>
      <c r="O14" s="6"/>
      <c r="P14" s="6"/>
    </row>
    <row r="15" spans="1:16" x14ac:dyDescent="0.3">
      <c r="A15" s="3" t="s">
        <v>23</v>
      </c>
      <c r="B15" s="3">
        <v>55</v>
      </c>
      <c r="C15" s="3">
        <v>60</v>
      </c>
      <c r="D15" s="3">
        <v>56</v>
      </c>
      <c r="E15" s="3">
        <v>58</v>
      </c>
      <c r="F15" s="3">
        <v>53</v>
      </c>
      <c r="G15" s="3">
        <v>61</v>
      </c>
      <c r="H15" s="3">
        <v>57</v>
      </c>
      <c r="I15" s="3">
        <v>62</v>
      </c>
      <c r="J15" s="3">
        <f t="shared" si="0"/>
        <v>57.75</v>
      </c>
      <c r="K15" s="4">
        <f>GPA!C14</f>
        <v>3.7</v>
      </c>
      <c r="L15" s="6"/>
      <c r="M15" s="6"/>
      <c r="N15" s="6"/>
      <c r="O15" s="6"/>
      <c r="P15" s="6"/>
    </row>
    <row r="16" spans="1:16" x14ac:dyDescent="0.3">
      <c r="A16" s="3" t="s">
        <v>24</v>
      </c>
      <c r="B16" s="3">
        <v>70</v>
      </c>
      <c r="C16" s="3">
        <v>75</v>
      </c>
      <c r="D16" s="3">
        <v>69</v>
      </c>
      <c r="E16" s="3">
        <v>71</v>
      </c>
      <c r="F16" s="3">
        <v>65</v>
      </c>
      <c r="G16" s="3">
        <v>73</v>
      </c>
      <c r="H16" s="3">
        <v>68</v>
      </c>
      <c r="I16" s="3">
        <v>74</v>
      </c>
      <c r="J16" s="3">
        <f t="shared" si="0"/>
        <v>70.625</v>
      </c>
      <c r="K16" s="4">
        <f>GPA!C15</f>
        <v>2.9</v>
      </c>
      <c r="L16" s="6"/>
      <c r="M16" s="6"/>
      <c r="N16" s="6"/>
      <c r="O16" s="6"/>
      <c r="P16" s="6"/>
    </row>
    <row r="17" spans="1:16" x14ac:dyDescent="0.3">
      <c r="A17" s="3" t="s">
        <v>25</v>
      </c>
      <c r="B17" s="3">
        <v>85</v>
      </c>
      <c r="C17" s="3">
        <v>89</v>
      </c>
      <c r="D17" s="3">
        <v>83</v>
      </c>
      <c r="E17" s="3">
        <v>88</v>
      </c>
      <c r="F17" s="3">
        <v>82</v>
      </c>
      <c r="G17" s="3">
        <v>90</v>
      </c>
      <c r="H17" s="3">
        <v>84</v>
      </c>
      <c r="I17" s="3">
        <v>91</v>
      </c>
      <c r="J17" s="3">
        <f t="shared" si="0"/>
        <v>86.5</v>
      </c>
      <c r="K17" s="4">
        <f>GPA!C16</f>
        <v>3.5</v>
      </c>
      <c r="L17" s="6"/>
      <c r="M17" s="6"/>
      <c r="N17" s="6"/>
      <c r="O17" s="6"/>
      <c r="P17" s="6"/>
    </row>
    <row r="18" spans="1:16" x14ac:dyDescent="0.3">
      <c r="A18" s="3" t="s">
        <v>26</v>
      </c>
      <c r="B18" s="3">
        <v>63</v>
      </c>
      <c r="C18" s="3">
        <v>67</v>
      </c>
      <c r="D18" s="3">
        <v>62</v>
      </c>
      <c r="E18" s="3">
        <v>66</v>
      </c>
      <c r="F18" s="3">
        <v>60</v>
      </c>
      <c r="G18" s="3">
        <v>68</v>
      </c>
      <c r="H18" s="3">
        <v>64</v>
      </c>
      <c r="I18" s="3">
        <v>69</v>
      </c>
      <c r="J18" s="3">
        <f t="shared" si="0"/>
        <v>64.875</v>
      </c>
      <c r="K18" s="4">
        <f>GPA!C17</f>
        <v>3.9</v>
      </c>
      <c r="L18" s="6"/>
      <c r="M18" s="6"/>
      <c r="N18" s="6"/>
      <c r="O18" s="6"/>
      <c r="P18" s="6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GPA</vt:lpstr>
      <vt:lpstr>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</dc:creator>
  <cp:lastModifiedBy>unc</cp:lastModifiedBy>
  <dcterms:created xsi:type="dcterms:W3CDTF">2026-02-18T16:40:48Z</dcterms:created>
  <dcterms:modified xsi:type="dcterms:W3CDTF">2026-02-18T17:07:33Z</dcterms:modified>
</cp:coreProperties>
</file>