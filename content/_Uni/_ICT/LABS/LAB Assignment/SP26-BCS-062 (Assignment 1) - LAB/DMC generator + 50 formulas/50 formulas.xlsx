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own Tech\Documents\SP26-BCS-062\"/>
    </mc:Choice>
  </mc:AlternateContent>
  <xr:revisionPtr revIDLastSave="0" documentId="13_ncr:1_{43D0C671-6C96-4088-8D0A-32A6BAB31B18}" xr6:coauthVersionLast="36" xr6:coauthVersionMax="36" xr10:uidLastSave="{00000000-0000-0000-0000-000000000000}"/>
  <bookViews>
    <workbookView xWindow="0" yWindow="0" windowWidth="21268" windowHeight="9305" xr2:uid="{AD17E29E-B75B-4A93-94A7-0F9A1A7EE8D3}"/>
  </bookViews>
  <sheets>
    <sheet name="Sheet1" sheetId="1" r:id="rId1"/>
    <sheet name="Sheet2" sheetId="2" r:id="rId2"/>
  </sheets>
  <definedNames>
    <definedName name="_xlnm._FilterDatabase" localSheetId="0" hidden="1">Sheet1!$A$1:$R$22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1" i="1" l="1"/>
  <c r="B28" i="1"/>
  <c r="B61" i="1"/>
  <c r="B60" i="1"/>
  <c r="B58" i="1"/>
  <c r="B66" i="1"/>
  <c r="B69" i="1"/>
  <c r="B73" i="1"/>
  <c r="B75" i="1"/>
  <c r="B77" i="1"/>
  <c r="B54" i="1"/>
  <c r="B47" i="1"/>
  <c r="B33" i="1"/>
  <c r="B34" i="1"/>
  <c r="B35" i="1"/>
  <c r="B36" i="1"/>
  <c r="B39" i="1"/>
  <c r="B40" i="1"/>
  <c r="B41" i="1"/>
  <c r="B42" i="1"/>
  <c r="B43" i="1"/>
  <c r="B44" i="1"/>
  <c r="B45" i="1"/>
  <c r="B46" i="1"/>
  <c r="B49" i="1"/>
  <c r="B52" i="1"/>
  <c r="B29" i="1"/>
  <c r="B31" i="1"/>
  <c r="B32" i="1"/>
  <c r="B25" i="1"/>
  <c r="B26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O3" i="1"/>
  <c r="K3" i="1" s="1"/>
  <c r="O4" i="1"/>
  <c r="L4" i="1" s="1"/>
  <c r="O5" i="1"/>
  <c r="K5" i="1" s="1"/>
  <c r="O6" i="1"/>
  <c r="K6" i="1" s="1"/>
  <c r="O7" i="1"/>
  <c r="K7" i="1" s="1"/>
  <c r="O8" i="1"/>
  <c r="L8" i="1" s="1"/>
  <c r="O9" i="1"/>
  <c r="L9" i="1" s="1"/>
  <c r="O10" i="1"/>
  <c r="L10" i="1" s="1"/>
  <c r="O11" i="1"/>
  <c r="K11" i="1" s="1"/>
  <c r="O12" i="1"/>
  <c r="L12" i="1" s="1"/>
  <c r="O13" i="1"/>
  <c r="L13" i="1" s="1"/>
  <c r="O14" i="1"/>
  <c r="K14" i="1" s="1"/>
  <c r="O15" i="1"/>
  <c r="K15" i="1" s="1"/>
  <c r="O16" i="1"/>
  <c r="L16" i="1" s="1"/>
  <c r="O17" i="1"/>
  <c r="L17" i="1" s="1"/>
  <c r="O18" i="1"/>
  <c r="L18" i="1" s="1"/>
  <c r="O19" i="1"/>
  <c r="L19" i="1" s="1"/>
  <c r="O20" i="1"/>
  <c r="L20" i="1" s="1"/>
  <c r="O21" i="1"/>
  <c r="L21" i="1" s="1"/>
  <c r="O2" i="1"/>
  <c r="K2" i="1" s="1"/>
  <c r="C22" i="1"/>
  <c r="D22" i="1"/>
  <c r="E22" i="1"/>
  <c r="F22" i="1"/>
  <c r="G22" i="1"/>
  <c r="H22" i="1"/>
  <c r="I22" i="1"/>
  <c r="J22" i="1"/>
  <c r="B72" i="1" l="1"/>
  <c r="B53" i="1"/>
  <c r="B74" i="1"/>
  <c r="B65" i="1"/>
  <c r="B56" i="1"/>
  <c r="B67" i="1"/>
  <c r="B57" i="1"/>
  <c r="B68" i="1"/>
  <c r="B63" i="1"/>
  <c r="B64" i="1"/>
  <c r="B30" i="1"/>
  <c r="B76" i="1"/>
  <c r="B38" i="1"/>
  <c r="K20" i="1"/>
  <c r="K19" i="1"/>
  <c r="K10" i="1"/>
  <c r="K9" i="1"/>
  <c r="L2" i="1"/>
  <c r="K8" i="1"/>
  <c r="L7" i="1"/>
  <c r="K18" i="1"/>
  <c r="L6" i="1"/>
  <c r="K21" i="1"/>
  <c r="L5" i="1"/>
  <c r="L15" i="1"/>
  <c r="L3" i="1"/>
  <c r="K17" i="1"/>
  <c r="L14" i="1"/>
  <c r="O22" i="1"/>
  <c r="K16" i="1"/>
  <c r="K4" i="1"/>
  <c r="L11" i="1"/>
  <c r="K13" i="1"/>
  <c r="K12" i="1"/>
  <c r="P22" i="1"/>
  <c r="B70" i="1" l="1"/>
  <c r="B59" i="1"/>
  <c r="B51" i="1"/>
  <c r="B62" i="1"/>
  <c r="B55" i="1"/>
  <c r="B27" i="1"/>
  <c r="B48" i="1"/>
  <c r="B37" i="1"/>
  <c r="L22" i="1"/>
</calcChain>
</file>

<file path=xl/sharedStrings.xml><?xml version="1.0" encoding="utf-8"?>
<sst xmlns="http://schemas.openxmlformats.org/spreadsheetml/2006/main" count="113" uniqueCount="99">
  <si>
    <t>Names</t>
  </si>
  <si>
    <t>Sr No.</t>
  </si>
  <si>
    <t>Semester</t>
  </si>
  <si>
    <t>Province</t>
  </si>
  <si>
    <t>Punjab</t>
  </si>
  <si>
    <t>KPK</t>
  </si>
  <si>
    <t>Balochistan</t>
  </si>
  <si>
    <t>Gilgit</t>
  </si>
  <si>
    <t>Sindh</t>
  </si>
  <si>
    <t xml:space="preserve">KPK </t>
  </si>
  <si>
    <t>SIndh</t>
  </si>
  <si>
    <t>Umer</t>
  </si>
  <si>
    <t>Abdullah</t>
  </si>
  <si>
    <t>Uzair</t>
  </si>
  <si>
    <t>Haider</t>
  </si>
  <si>
    <t>Tehseen</t>
  </si>
  <si>
    <t>Mudasir</t>
  </si>
  <si>
    <t>Zohaib</t>
  </si>
  <si>
    <t>Zeeshan</t>
  </si>
  <si>
    <t>Yahya</t>
  </si>
  <si>
    <t>Alishba</t>
  </si>
  <si>
    <t>Hadia</t>
  </si>
  <si>
    <t>Aisha</t>
  </si>
  <si>
    <t>Ali</t>
  </si>
  <si>
    <t>Muhammad</t>
  </si>
  <si>
    <t>Muneeb</t>
  </si>
  <si>
    <t>Rana</t>
  </si>
  <si>
    <t>Daku</t>
  </si>
  <si>
    <t>Umaima</t>
  </si>
  <si>
    <t>Daniyal</t>
  </si>
  <si>
    <t>Umair</t>
  </si>
  <si>
    <t>Maths</t>
  </si>
  <si>
    <t>English</t>
  </si>
  <si>
    <t>Computer Science</t>
  </si>
  <si>
    <t>Pakistan Studies</t>
  </si>
  <si>
    <t>Islamiat</t>
  </si>
  <si>
    <t>Civics</t>
  </si>
  <si>
    <t>Total Marks</t>
  </si>
  <si>
    <t xml:space="preserve">Chemistry </t>
  </si>
  <si>
    <t>Physics</t>
  </si>
  <si>
    <t>AVERAGE</t>
  </si>
  <si>
    <t>Percentage</t>
  </si>
  <si>
    <t>GPA</t>
  </si>
  <si>
    <t>Highest Marks</t>
  </si>
  <si>
    <t>Lowest Marks</t>
  </si>
  <si>
    <t>PASS/FAIL</t>
  </si>
  <si>
    <t>Formula to Paste in Row 2</t>
  </si>
  <si>
    <t>Recalculate Total</t>
  </si>
  <si>
    <t>Letter Grade</t>
  </si>
  <si>
    <t>Result Status</t>
  </si>
  <si>
    <t>Scholarship Check</t>
  </si>
  <si>
    <t>Pass/Fail Status</t>
  </si>
  <si>
    <t>GPA Logic</t>
  </si>
  <si>
    <t>Find Lowest Mark</t>
  </si>
  <si>
    <t>Find Highest Mark</t>
  </si>
  <si>
    <t>Mean Score</t>
  </si>
  <si>
    <t>Minimum Mark</t>
  </si>
  <si>
    <t>Maximum Mark</t>
  </si>
  <si>
    <t>Class Rank</t>
  </si>
  <si>
    <t>Score Variance</t>
  </si>
  <si>
    <t>Median Mark</t>
  </si>
  <si>
    <t>Subject Gap</t>
  </si>
  <si>
    <t>Technical Average</t>
  </si>
  <si>
    <t>Student Profile</t>
  </si>
  <si>
    <t>Formal Name</t>
  </si>
  <si>
    <t>Name Length</t>
  </si>
  <si>
    <t>Province Code</t>
  </si>
  <si>
    <t>Student Level</t>
  </si>
  <si>
    <t>Honor Award</t>
  </si>
  <si>
    <t>High Scores</t>
  </si>
  <si>
    <t>Clean GPA</t>
  </si>
  <si>
    <t>Failure Count</t>
  </si>
  <si>
    <t>Merit Level</t>
  </si>
  <si>
    <t>Semester Tag</t>
  </si>
  <si>
    <t>Average GPA</t>
  </si>
  <si>
    <t>Highest Total</t>
  </si>
  <si>
    <t>Lowest Total</t>
  </si>
  <si>
    <t>Punjab Count</t>
  </si>
  <si>
    <t>Pass Count</t>
  </si>
  <si>
    <t>Sindh Total</t>
  </si>
  <si>
    <t>Top Punjab</t>
  </si>
  <si>
    <t>Grand Total</t>
  </si>
  <si>
    <t>Top Student</t>
  </si>
  <si>
    <t>Semester1 Total</t>
  </si>
  <si>
    <t>Maths Average</t>
  </si>
  <si>
    <t>Runner Up</t>
  </si>
  <si>
    <t>Second Lowest</t>
  </si>
  <si>
    <t>Name Patterns</t>
  </si>
  <si>
    <t>Median GPA</t>
  </si>
  <si>
    <t>Missing Values</t>
  </si>
  <si>
    <t>Targeted Search</t>
  </si>
  <si>
    <t>Physics Range</t>
  </si>
  <si>
    <t>Punjab Sem1</t>
  </si>
  <si>
    <t>Subject Rating</t>
  </si>
  <si>
    <t>Elite Count</t>
  </si>
  <si>
    <t>Student Total</t>
  </si>
  <si>
    <t>KPK total</t>
  </si>
  <si>
    <t>For Haider</t>
  </si>
  <si>
    <t>Full Name +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</si>
</sst>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0" borderId="0" xfId="0" applyFill="1"/>
    <xf numFmtId="0" fontId="1" fillId="2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8D2B-F633-4AA8-9C69-A36B16DD8C62}">
  <dimension ref="A1:X92"/>
  <sheetViews>
    <sheetView tabSelected="1" topLeftCell="A38" zoomScale="65" workbookViewId="0">
      <selection sqref="A1:A21"/>
    </sheetView>
  </sheetViews>
  <sheetFormatPr defaultRowHeight="14.4" x14ac:dyDescent="0.3"/>
  <cols>
    <col min="1" max="9" width="19.69921875" customWidth="1"/>
    <col min="10" max="10" width="19.19921875" customWidth="1"/>
    <col min="11" max="18" width="19.69921875" customWidth="1"/>
  </cols>
  <sheetData>
    <row r="1" spans="1:24" ht="30.05" customHeight="1" x14ac:dyDescent="0.3">
      <c r="A1" s="3" t="s">
        <v>1</v>
      </c>
      <c r="B1" s="3" t="s">
        <v>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38</v>
      </c>
      <c r="J1" s="3" t="s">
        <v>39</v>
      </c>
      <c r="K1" s="3" t="s">
        <v>45</v>
      </c>
      <c r="L1" s="3" t="s">
        <v>42</v>
      </c>
      <c r="M1" s="3" t="s">
        <v>44</v>
      </c>
      <c r="N1" s="3" t="s">
        <v>43</v>
      </c>
      <c r="O1" s="3" t="s">
        <v>41</v>
      </c>
      <c r="P1" s="3" t="s">
        <v>37</v>
      </c>
      <c r="Q1" s="3" t="s">
        <v>2</v>
      </c>
      <c r="R1" s="3" t="s">
        <v>3</v>
      </c>
    </row>
    <row r="2" spans="1:24" ht="30.05" customHeight="1" x14ac:dyDescent="0.3">
      <c r="A2" s="2">
        <v>1</v>
      </c>
      <c r="B2" s="4" t="s">
        <v>14</v>
      </c>
      <c r="C2" s="5">
        <v>78</v>
      </c>
      <c r="D2" s="5">
        <v>85</v>
      </c>
      <c r="E2" s="5">
        <v>91</v>
      </c>
      <c r="F2" s="5">
        <v>67</v>
      </c>
      <c r="G2" s="5">
        <v>74</v>
      </c>
      <c r="H2" s="5">
        <v>82</v>
      </c>
      <c r="I2" s="5">
        <v>88</v>
      </c>
      <c r="J2" s="5">
        <v>90</v>
      </c>
      <c r="K2" s="5" t="str">
        <f>IF(O2&gt;=40,"Pass","Fail")</f>
        <v>Pass</v>
      </c>
      <c r="L2" s="5">
        <f t="shared" ref="L2:L21" si="0">IF(O2&gt;=85,4,
IF(O2&gt;=80,3.7,
IF(O2&gt;=75,3.3,
IF(O2&gt;=70,3,
IF(O2&gt;=65,2.7,
IF(O2&gt;=60,2.3,
IF(O2&gt;=55,2,0)))))))</f>
        <v>3.7</v>
      </c>
      <c r="M2" s="5">
        <f t="shared" ref="M2:M21" si="1">MIN(C2:J2)</f>
        <v>67</v>
      </c>
      <c r="N2" s="5">
        <f t="shared" ref="N2:N21" si="2">MAX(C2:J2)</f>
        <v>91</v>
      </c>
      <c r="O2" s="5">
        <f t="shared" ref="O2:O21" si="3">SUM(C2:J2)/800 *100</f>
        <v>81.875</v>
      </c>
      <c r="P2" s="5">
        <f t="shared" ref="P2:P21" si="4">SUM(C2:J2)</f>
        <v>655</v>
      </c>
      <c r="Q2" s="5">
        <v>1</v>
      </c>
      <c r="R2" s="5" t="s">
        <v>4</v>
      </c>
    </row>
    <row r="3" spans="1:24" ht="30.05" customHeight="1" x14ac:dyDescent="0.3">
      <c r="A3" s="2">
        <v>2</v>
      </c>
      <c r="B3" s="4" t="s">
        <v>12</v>
      </c>
      <c r="C3" s="5">
        <v>65</v>
      </c>
      <c r="D3" s="5">
        <v>72</v>
      </c>
      <c r="E3" s="5">
        <v>84</v>
      </c>
      <c r="F3" s="5">
        <v>59</v>
      </c>
      <c r="G3" s="5">
        <v>61</v>
      </c>
      <c r="H3" s="5">
        <v>70</v>
      </c>
      <c r="I3" s="5">
        <v>75</v>
      </c>
      <c r="J3" s="5">
        <v>80</v>
      </c>
      <c r="K3" s="5" t="str">
        <f t="shared" ref="K3:K21" si="5">IF(O3&gt;=40,"Pass","False")</f>
        <v>Pass</v>
      </c>
      <c r="L3" s="5">
        <f t="shared" si="0"/>
        <v>3</v>
      </c>
      <c r="M3" s="5">
        <f t="shared" si="1"/>
        <v>59</v>
      </c>
      <c r="N3" s="5">
        <f t="shared" si="2"/>
        <v>84</v>
      </c>
      <c r="O3" s="5">
        <f t="shared" si="3"/>
        <v>70.75</v>
      </c>
      <c r="P3" s="5">
        <f t="shared" si="4"/>
        <v>566</v>
      </c>
      <c r="Q3" s="5">
        <v>1</v>
      </c>
      <c r="R3" s="5" t="s">
        <v>5</v>
      </c>
    </row>
    <row r="4" spans="1:24" ht="30.05" customHeight="1" x14ac:dyDescent="0.3">
      <c r="A4" s="2">
        <v>3</v>
      </c>
      <c r="B4" s="4" t="s">
        <v>13</v>
      </c>
      <c r="C4" s="5">
        <v>92</v>
      </c>
      <c r="D4" s="5">
        <v>88</v>
      </c>
      <c r="E4" s="5">
        <v>95</v>
      </c>
      <c r="F4" s="5">
        <v>81</v>
      </c>
      <c r="G4" s="5">
        <v>79</v>
      </c>
      <c r="H4" s="5">
        <v>86</v>
      </c>
      <c r="I4" s="5">
        <v>94</v>
      </c>
      <c r="J4" s="5">
        <v>97</v>
      </c>
      <c r="K4" s="5" t="str">
        <f t="shared" si="5"/>
        <v>Pass</v>
      </c>
      <c r="L4" s="5">
        <f t="shared" si="0"/>
        <v>4</v>
      </c>
      <c r="M4" s="5">
        <f t="shared" si="1"/>
        <v>79</v>
      </c>
      <c r="N4" s="5">
        <f t="shared" si="2"/>
        <v>97</v>
      </c>
      <c r="O4" s="5">
        <f t="shared" si="3"/>
        <v>89</v>
      </c>
      <c r="P4" s="5">
        <f t="shared" si="4"/>
        <v>712</v>
      </c>
      <c r="Q4" s="5">
        <v>3</v>
      </c>
      <c r="R4" s="5" t="s">
        <v>6</v>
      </c>
    </row>
    <row r="5" spans="1:24" ht="30.05" customHeight="1" x14ac:dyDescent="0.3">
      <c r="A5" s="2">
        <v>4</v>
      </c>
      <c r="B5" s="4" t="s">
        <v>11</v>
      </c>
      <c r="C5" s="5">
        <v>54</v>
      </c>
      <c r="D5" s="5">
        <v>60</v>
      </c>
      <c r="E5" s="5">
        <v>73</v>
      </c>
      <c r="F5" s="5">
        <v>48</v>
      </c>
      <c r="G5" s="5">
        <v>55</v>
      </c>
      <c r="H5" s="5">
        <v>62</v>
      </c>
      <c r="I5" s="5">
        <v>69</v>
      </c>
      <c r="J5" s="5">
        <v>71</v>
      </c>
      <c r="K5" s="5" t="str">
        <f t="shared" si="5"/>
        <v>Pass</v>
      </c>
      <c r="L5" s="5">
        <f t="shared" si="0"/>
        <v>2.2999999999999998</v>
      </c>
      <c r="M5" s="5">
        <f t="shared" si="1"/>
        <v>48</v>
      </c>
      <c r="N5" s="5">
        <f t="shared" si="2"/>
        <v>73</v>
      </c>
      <c r="O5" s="5">
        <f t="shared" si="3"/>
        <v>61.5</v>
      </c>
      <c r="P5" s="5">
        <f t="shared" si="4"/>
        <v>492</v>
      </c>
      <c r="Q5" s="5">
        <v>2</v>
      </c>
      <c r="R5" s="5" t="s">
        <v>4</v>
      </c>
    </row>
    <row r="6" spans="1:24" ht="30.05" customHeight="1" x14ac:dyDescent="0.3">
      <c r="A6" s="2">
        <v>5</v>
      </c>
      <c r="B6" s="4" t="s">
        <v>15</v>
      </c>
      <c r="C6" s="5">
        <v>83</v>
      </c>
      <c r="D6" s="5">
        <v>77</v>
      </c>
      <c r="E6" s="5">
        <v>89</v>
      </c>
      <c r="F6" s="5">
        <v>74</v>
      </c>
      <c r="G6" s="5">
        <v>68</v>
      </c>
      <c r="H6" s="5">
        <v>80</v>
      </c>
      <c r="I6" s="5">
        <v>85</v>
      </c>
      <c r="J6" s="5">
        <v>87</v>
      </c>
      <c r="K6" s="5" t="str">
        <f t="shared" si="5"/>
        <v>Pass</v>
      </c>
      <c r="L6" s="5">
        <f t="shared" si="0"/>
        <v>3.7</v>
      </c>
      <c r="M6" s="5">
        <f t="shared" si="1"/>
        <v>68</v>
      </c>
      <c r="N6" s="5">
        <f t="shared" si="2"/>
        <v>89</v>
      </c>
      <c r="O6" s="5">
        <f t="shared" si="3"/>
        <v>80.375</v>
      </c>
      <c r="P6" s="5">
        <f t="shared" si="4"/>
        <v>643</v>
      </c>
      <c r="Q6" s="5">
        <v>1</v>
      </c>
      <c r="R6" s="5" t="s">
        <v>5</v>
      </c>
    </row>
    <row r="7" spans="1:24" ht="30.05" customHeight="1" x14ac:dyDescent="0.3">
      <c r="A7" s="2">
        <v>6</v>
      </c>
      <c r="B7" s="4" t="s">
        <v>16</v>
      </c>
      <c r="C7" s="5">
        <v>71</v>
      </c>
      <c r="D7" s="5">
        <v>69</v>
      </c>
      <c r="E7" s="5">
        <v>76</v>
      </c>
      <c r="F7" s="5">
        <v>63</v>
      </c>
      <c r="G7" s="5">
        <v>66</v>
      </c>
      <c r="H7" s="5">
        <v>72</v>
      </c>
      <c r="I7" s="5">
        <v>79</v>
      </c>
      <c r="J7" s="5">
        <v>82</v>
      </c>
      <c r="K7" s="5" t="str">
        <f t="shared" si="5"/>
        <v>Pass</v>
      </c>
      <c r="L7" s="5">
        <f t="shared" si="0"/>
        <v>3</v>
      </c>
      <c r="M7" s="5">
        <f t="shared" si="1"/>
        <v>63</v>
      </c>
      <c r="N7" s="5">
        <f t="shared" si="2"/>
        <v>82</v>
      </c>
      <c r="O7" s="5">
        <f t="shared" si="3"/>
        <v>72.25</v>
      </c>
      <c r="P7" s="5">
        <f t="shared" si="4"/>
        <v>578</v>
      </c>
      <c r="Q7" s="5">
        <v>1</v>
      </c>
      <c r="R7" s="5" t="s">
        <v>4</v>
      </c>
    </row>
    <row r="8" spans="1:24" ht="30.05" customHeight="1" x14ac:dyDescent="0.3">
      <c r="A8" s="2">
        <v>7</v>
      </c>
      <c r="B8" s="4" t="s">
        <v>17</v>
      </c>
      <c r="C8" s="5">
        <v>96</v>
      </c>
      <c r="D8" s="5">
        <v>91</v>
      </c>
      <c r="E8" s="5">
        <v>98</v>
      </c>
      <c r="F8" s="5">
        <v>85</v>
      </c>
      <c r="G8" s="5">
        <v>88</v>
      </c>
      <c r="H8" s="5">
        <v>90</v>
      </c>
      <c r="I8" s="5">
        <v>93</v>
      </c>
      <c r="J8" s="5">
        <v>99</v>
      </c>
      <c r="K8" s="5" t="str">
        <f t="shared" si="5"/>
        <v>Pass</v>
      </c>
      <c r="L8" s="5">
        <f t="shared" si="0"/>
        <v>4</v>
      </c>
      <c r="M8" s="5">
        <f t="shared" si="1"/>
        <v>85</v>
      </c>
      <c r="N8" s="5">
        <f t="shared" si="2"/>
        <v>99</v>
      </c>
      <c r="O8" s="5">
        <f t="shared" si="3"/>
        <v>92.5</v>
      </c>
      <c r="P8" s="5">
        <f t="shared" si="4"/>
        <v>740</v>
      </c>
      <c r="Q8" s="5">
        <v>1</v>
      </c>
      <c r="R8" s="5" t="s">
        <v>4</v>
      </c>
    </row>
    <row r="9" spans="1:24" ht="30.05" customHeight="1" x14ac:dyDescent="0.3">
      <c r="A9" s="2">
        <v>8</v>
      </c>
      <c r="B9" s="4" t="s">
        <v>18</v>
      </c>
      <c r="C9" s="5">
        <v>58</v>
      </c>
      <c r="D9" s="5">
        <v>64</v>
      </c>
      <c r="E9" s="5">
        <v>70</v>
      </c>
      <c r="F9" s="5">
        <v>52</v>
      </c>
      <c r="G9" s="5">
        <v>57</v>
      </c>
      <c r="H9" s="5">
        <v>60</v>
      </c>
      <c r="I9" s="5">
        <v>68</v>
      </c>
      <c r="J9" s="5">
        <v>73</v>
      </c>
      <c r="K9" s="5" t="str">
        <f t="shared" si="5"/>
        <v>Pass</v>
      </c>
      <c r="L9" s="5">
        <f t="shared" si="0"/>
        <v>2.2999999999999998</v>
      </c>
      <c r="M9" s="5">
        <f t="shared" si="1"/>
        <v>52</v>
      </c>
      <c r="N9" s="5">
        <f t="shared" si="2"/>
        <v>73</v>
      </c>
      <c r="O9" s="5">
        <f t="shared" si="3"/>
        <v>62.749999999999993</v>
      </c>
      <c r="P9" s="5">
        <f t="shared" si="4"/>
        <v>502</v>
      </c>
      <c r="Q9" s="5">
        <v>1</v>
      </c>
      <c r="R9" s="5" t="s">
        <v>4</v>
      </c>
    </row>
    <row r="10" spans="1:24" ht="30.05" customHeight="1" x14ac:dyDescent="0.3">
      <c r="A10" s="2">
        <v>9</v>
      </c>
      <c r="B10" s="4" t="s">
        <v>19</v>
      </c>
      <c r="C10" s="5">
        <v>87</v>
      </c>
      <c r="D10" s="5">
        <v>83</v>
      </c>
      <c r="E10" s="5">
        <v>90</v>
      </c>
      <c r="F10" s="5">
        <v>76</v>
      </c>
      <c r="G10" s="5">
        <v>81</v>
      </c>
      <c r="H10" s="5">
        <v>84</v>
      </c>
      <c r="I10" s="5">
        <v>92</v>
      </c>
      <c r="J10" s="5">
        <v>94</v>
      </c>
      <c r="K10" s="5" t="str">
        <f t="shared" si="5"/>
        <v>Pass</v>
      </c>
      <c r="L10" s="5">
        <f t="shared" si="0"/>
        <v>4</v>
      </c>
      <c r="M10" s="5">
        <f t="shared" si="1"/>
        <v>76</v>
      </c>
      <c r="N10" s="5">
        <f t="shared" si="2"/>
        <v>94</v>
      </c>
      <c r="O10" s="5">
        <f t="shared" si="3"/>
        <v>85.875</v>
      </c>
      <c r="P10" s="5">
        <f t="shared" si="4"/>
        <v>687</v>
      </c>
      <c r="Q10" s="5">
        <v>1</v>
      </c>
      <c r="R10" s="5" t="s">
        <v>4</v>
      </c>
    </row>
    <row r="11" spans="1:24" ht="30.05" customHeight="1" x14ac:dyDescent="0.3">
      <c r="A11" s="2">
        <v>10</v>
      </c>
      <c r="B11" s="4" t="s">
        <v>20</v>
      </c>
      <c r="C11" s="5">
        <v>62</v>
      </c>
      <c r="D11" s="5">
        <v>58</v>
      </c>
      <c r="E11" s="5">
        <v>67</v>
      </c>
      <c r="F11" s="5">
        <v>49</v>
      </c>
      <c r="G11" s="5">
        <v>53</v>
      </c>
      <c r="H11" s="5">
        <v>59</v>
      </c>
      <c r="I11" s="5">
        <v>65</v>
      </c>
      <c r="J11" s="5">
        <v>72</v>
      </c>
      <c r="K11" s="5" t="str">
        <f t="shared" si="5"/>
        <v>Pass</v>
      </c>
      <c r="L11" s="5">
        <f t="shared" si="0"/>
        <v>2.2999999999999998</v>
      </c>
      <c r="M11" s="5">
        <f t="shared" si="1"/>
        <v>49</v>
      </c>
      <c r="N11" s="5">
        <f t="shared" si="2"/>
        <v>72</v>
      </c>
      <c r="O11" s="5">
        <f t="shared" si="3"/>
        <v>60.624999999999993</v>
      </c>
      <c r="P11" s="5">
        <f t="shared" si="4"/>
        <v>485</v>
      </c>
      <c r="Q11" s="5">
        <v>4</v>
      </c>
      <c r="R11" s="5" t="s">
        <v>7</v>
      </c>
      <c r="X11" s="1"/>
    </row>
    <row r="12" spans="1:24" ht="30.05" customHeight="1" x14ac:dyDescent="0.3">
      <c r="A12" s="2">
        <v>11</v>
      </c>
      <c r="B12" s="4" t="s">
        <v>21</v>
      </c>
      <c r="C12" s="5">
        <v>74</v>
      </c>
      <c r="D12" s="5">
        <v>79</v>
      </c>
      <c r="E12" s="5">
        <v>85</v>
      </c>
      <c r="F12" s="5">
        <v>68</v>
      </c>
      <c r="G12" s="5">
        <v>72</v>
      </c>
      <c r="H12" s="5">
        <v>77</v>
      </c>
      <c r="I12" s="5">
        <v>83</v>
      </c>
      <c r="J12" s="5">
        <v>88</v>
      </c>
      <c r="K12" s="5" t="str">
        <f t="shared" si="5"/>
        <v>Pass</v>
      </c>
      <c r="L12" s="5">
        <f t="shared" si="0"/>
        <v>3.3</v>
      </c>
      <c r="M12" s="5">
        <f t="shared" si="1"/>
        <v>68</v>
      </c>
      <c r="N12" s="5">
        <f t="shared" si="2"/>
        <v>88</v>
      </c>
      <c r="O12" s="5">
        <f t="shared" si="3"/>
        <v>78.25</v>
      </c>
      <c r="P12" s="5">
        <f t="shared" si="4"/>
        <v>626</v>
      </c>
      <c r="Q12" s="5">
        <v>3</v>
      </c>
      <c r="R12" s="5" t="s">
        <v>8</v>
      </c>
    </row>
    <row r="13" spans="1:24" ht="30.05" customHeight="1" x14ac:dyDescent="0.3">
      <c r="A13" s="2">
        <v>12</v>
      </c>
      <c r="B13" s="4" t="s">
        <v>22</v>
      </c>
      <c r="C13" s="5">
        <v>69</v>
      </c>
      <c r="D13" s="5">
        <v>73</v>
      </c>
      <c r="E13" s="5">
        <v>80</v>
      </c>
      <c r="F13" s="5">
        <v>61</v>
      </c>
      <c r="G13" s="5">
        <v>64</v>
      </c>
      <c r="H13" s="5">
        <v>70</v>
      </c>
      <c r="I13" s="5">
        <v>78</v>
      </c>
      <c r="J13" s="5">
        <v>81</v>
      </c>
      <c r="K13" s="5" t="str">
        <f t="shared" si="5"/>
        <v>Pass</v>
      </c>
      <c r="L13" s="5">
        <f t="shared" si="0"/>
        <v>3</v>
      </c>
      <c r="M13" s="5">
        <f t="shared" si="1"/>
        <v>61</v>
      </c>
      <c r="N13" s="5">
        <f t="shared" si="2"/>
        <v>81</v>
      </c>
      <c r="O13" s="5">
        <f t="shared" si="3"/>
        <v>72</v>
      </c>
      <c r="P13" s="5">
        <f t="shared" si="4"/>
        <v>576</v>
      </c>
      <c r="Q13" s="5">
        <v>2</v>
      </c>
      <c r="R13" s="5" t="s">
        <v>8</v>
      </c>
    </row>
    <row r="14" spans="1:24" ht="30.05" customHeight="1" x14ac:dyDescent="0.3">
      <c r="A14" s="2">
        <v>13</v>
      </c>
      <c r="B14" s="4" t="s">
        <v>23</v>
      </c>
      <c r="C14" s="5">
        <v>90</v>
      </c>
      <c r="D14" s="5">
        <v>86</v>
      </c>
      <c r="E14" s="5">
        <v>94</v>
      </c>
      <c r="F14" s="5">
        <v>82</v>
      </c>
      <c r="G14" s="5">
        <v>84</v>
      </c>
      <c r="H14" s="5">
        <v>89</v>
      </c>
      <c r="I14" s="5">
        <v>95</v>
      </c>
      <c r="J14" s="5">
        <v>96</v>
      </c>
      <c r="K14" s="5" t="str">
        <f t="shared" si="5"/>
        <v>Pass</v>
      </c>
      <c r="L14" s="5">
        <f t="shared" si="0"/>
        <v>4</v>
      </c>
      <c r="M14" s="5">
        <f t="shared" si="1"/>
        <v>82</v>
      </c>
      <c r="N14" s="5">
        <f t="shared" si="2"/>
        <v>96</v>
      </c>
      <c r="O14" s="5">
        <f t="shared" si="3"/>
        <v>89.5</v>
      </c>
      <c r="P14" s="5">
        <f t="shared" si="4"/>
        <v>716</v>
      </c>
      <c r="Q14" s="5">
        <v>2</v>
      </c>
      <c r="R14" s="5" t="s">
        <v>4</v>
      </c>
    </row>
    <row r="15" spans="1:24" ht="30.05" customHeight="1" x14ac:dyDescent="0.3">
      <c r="A15" s="2">
        <v>14</v>
      </c>
      <c r="B15" s="4" t="s">
        <v>24</v>
      </c>
      <c r="C15" s="5">
        <v>55</v>
      </c>
      <c r="D15" s="5">
        <v>63</v>
      </c>
      <c r="E15" s="5">
        <v>71</v>
      </c>
      <c r="F15" s="5">
        <v>50</v>
      </c>
      <c r="G15" s="5">
        <v>58</v>
      </c>
      <c r="H15" s="5">
        <v>66</v>
      </c>
      <c r="I15" s="5">
        <v>74</v>
      </c>
      <c r="J15" s="5">
        <v>77</v>
      </c>
      <c r="K15" s="5" t="str">
        <f t="shared" si="5"/>
        <v>Pass</v>
      </c>
      <c r="L15" s="5">
        <f t="shared" si="0"/>
        <v>2.2999999999999998</v>
      </c>
      <c r="M15" s="5">
        <f t="shared" si="1"/>
        <v>50</v>
      </c>
      <c r="N15" s="5">
        <f t="shared" si="2"/>
        <v>77</v>
      </c>
      <c r="O15" s="5">
        <f t="shared" si="3"/>
        <v>64.25</v>
      </c>
      <c r="P15" s="5">
        <f t="shared" si="4"/>
        <v>514</v>
      </c>
      <c r="Q15" s="5">
        <v>1</v>
      </c>
      <c r="R15" s="5" t="s">
        <v>9</v>
      </c>
    </row>
    <row r="16" spans="1:24" ht="30.05" customHeight="1" x14ac:dyDescent="0.3">
      <c r="A16" s="2">
        <v>15</v>
      </c>
      <c r="B16" s="4" t="s">
        <v>25</v>
      </c>
      <c r="C16" s="5">
        <v>81</v>
      </c>
      <c r="D16" s="5">
        <v>75</v>
      </c>
      <c r="E16" s="5">
        <v>88</v>
      </c>
      <c r="F16" s="5">
        <v>70</v>
      </c>
      <c r="G16" s="5">
        <v>73</v>
      </c>
      <c r="H16" s="5">
        <v>79</v>
      </c>
      <c r="I16" s="5">
        <v>86</v>
      </c>
      <c r="J16" s="5">
        <v>89</v>
      </c>
      <c r="K16" s="5" t="str">
        <f t="shared" si="5"/>
        <v>Pass</v>
      </c>
      <c r="L16" s="5">
        <f t="shared" si="0"/>
        <v>3.7</v>
      </c>
      <c r="M16" s="5">
        <f t="shared" si="1"/>
        <v>70</v>
      </c>
      <c r="N16" s="5">
        <f t="shared" si="2"/>
        <v>89</v>
      </c>
      <c r="O16" s="5">
        <f t="shared" si="3"/>
        <v>80.125</v>
      </c>
      <c r="P16" s="5">
        <f t="shared" si="4"/>
        <v>641</v>
      </c>
      <c r="Q16" s="5">
        <v>1</v>
      </c>
      <c r="R16" s="5" t="s">
        <v>6</v>
      </c>
    </row>
    <row r="17" spans="1:18" ht="30.05" customHeight="1" x14ac:dyDescent="0.3">
      <c r="A17" s="2">
        <v>16</v>
      </c>
      <c r="B17" s="4" t="s">
        <v>26</v>
      </c>
      <c r="C17" s="5">
        <v>67</v>
      </c>
      <c r="D17" s="5">
        <v>71</v>
      </c>
      <c r="E17" s="5">
        <v>78</v>
      </c>
      <c r="F17" s="5">
        <v>60</v>
      </c>
      <c r="G17" s="5">
        <v>62</v>
      </c>
      <c r="H17" s="5">
        <v>68</v>
      </c>
      <c r="I17" s="5">
        <v>76</v>
      </c>
      <c r="J17" s="5">
        <v>84</v>
      </c>
      <c r="K17" s="5" t="str">
        <f t="shared" si="5"/>
        <v>Pass</v>
      </c>
      <c r="L17" s="5">
        <f t="shared" si="0"/>
        <v>3</v>
      </c>
      <c r="M17" s="5">
        <f t="shared" si="1"/>
        <v>60</v>
      </c>
      <c r="N17" s="5">
        <f t="shared" si="2"/>
        <v>84</v>
      </c>
      <c r="O17" s="5">
        <f t="shared" si="3"/>
        <v>70.75</v>
      </c>
      <c r="P17" s="5">
        <f t="shared" si="4"/>
        <v>566</v>
      </c>
      <c r="Q17" s="5">
        <v>1</v>
      </c>
      <c r="R17" s="5" t="s">
        <v>4</v>
      </c>
    </row>
    <row r="18" spans="1:18" ht="30.05" customHeight="1" x14ac:dyDescent="0.3">
      <c r="A18" s="2">
        <v>17</v>
      </c>
      <c r="B18" s="4" t="s">
        <v>27</v>
      </c>
      <c r="C18" s="5">
        <v>93</v>
      </c>
      <c r="D18" s="5">
        <v>89</v>
      </c>
      <c r="E18" s="5">
        <v>97</v>
      </c>
      <c r="F18" s="5">
        <v>83</v>
      </c>
      <c r="G18" s="5">
        <v>87</v>
      </c>
      <c r="H18" s="5">
        <v>91</v>
      </c>
      <c r="I18" s="5">
        <v>96</v>
      </c>
      <c r="J18" s="5">
        <v>98</v>
      </c>
      <c r="K18" s="5" t="str">
        <f t="shared" si="5"/>
        <v>Pass</v>
      </c>
      <c r="L18" s="5">
        <f t="shared" si="0"/>
        <v>4</v>
      </c>
      <c r="M18" s="5">
        <f t="shared" si="1"/>
        <v>83</v>
      </c>
      <c r="N18" s="5">
        <f t="shared" si="2"/>
        <v>98</v>
      </c>
      <c r="O18" s="5">
        <f t="shared" si="3"/>
        <v>91.75</v>
      </c>
      <c r="P18" s="5">
        <f t="shared" si="4"/>
        <v>734</v>
      </c>
      <c r="Q18" s="5">
        <v>1</v>
      </c>
      <c r="R18" s="5" t="s">
        <v>10</v>
      </c>
    </row>
    <row r="19" spans="1:18" ht="30.05" customHeight="1" x14ac:dyDescent="0.3">
      <c r="A19" s="2">
        <v>18</v>
      </c>
      <c r="B19" s="4" t="s">
        <v>28</v>
      </c>
      <c r="C19" s="5">
        <v>59</v>
      </c>
      <c r="D19" s="5">
        <v>66</v>
      </c>
      <c r="E19" s="5">
        <v>72</v>
      </c>
      <c r="F19" s="5">
        <v>54</v>
      </c>
      <c r="G19" s="5">
        <v>56</v>
      </c>
      <c r="H19" s="5">
        <v>63</v>
      </c>
      <c r="I19" s="5">
        <v>70</v>
      </c>
      <c r="J19" s="5">
        <v>75</v>
      </c>
      <c r="K19" s="5" t="str">
        <f t="shared" si="5"/>
        <v>Pass</v>
      </c>
      <c r="L19" s="5">
        <f t="shared" si="0"/>
        <v>2.2999999999999998</v>
      </c>
      <c r="M19" s="5">
        <f t="shared" si="1"/>
        <v>54</v>
      </c>
      <c r="N19" s="5">
        <f t="shared" si="2"/>
        <v>75</v>
      </c>
      <c r="O19" s="5">
        <f t="shared" si="3"/>
        <v>64.375</v>
      </c>
      <c r="P19" s="5">
        <f t="shared" si="4"/>
        <v>515</v>
      </c>
      <c r="Q19" s="5">
        <v>1</v>
      </c>
      <c r="R19" s="5" t="s">
        <v>4</v>
      </c>
    </row>
    <row r="20" spans="1:18" ht="30.05" customHeight="1" x14ac:dyDescent="0.3">
      <c r="A20" s="2">
        <v>19</v>
      </c>
      <c r="B20" s="4" t="s">
        <v>29</v>
      </c>
      <c r="C20" s="5">
        <v>84</v>
      </c>
      <c r="D20" s="5">
        <v>80</v>
      </c>
      <c r="E20" s="5">
        <v>92</v>
      </c>
      <c r="F20" s="5">
        <v>77</v>
      </c>
      <c r="G20" s="5">
        <v>78</v>
      </c>
      <c r="H20" s="5">
        <v>85</v>
      </c>
      <c r="I20" s="5">
        <v>90</v>
      </c>
      <c r="J20" s="5">
        <v>93</v>
      </c>
      <c r="K20" s="5" t="str">
        <f t="shared" si="5"/>
        <v>Pass</v>
      </c>
      <c r="L20" s="5">
        <f t="shared" si="0"/>
        <v>3.7</v>
      </c>
      <c r="M20" s="5">
        <f t="shared" si="1"/>
        <v>77</v>
      </c>
      <c r="N20" s="5">
        <f t="shared" si="2"/>
        <v>93</v>
      </c>
      <c r="O20" s="5">
        <f t="shared" si="3"/>
        <v>84.875</v>
      </c>
      <c r="P20" s="5">
        <f t="shared" si="4"/>
        <v>679</v>
      </c>
      <c r="Q20" s="5">
        <v>1</v>
      </c>
      <c r="R20" s="5" t="s">
        <v>4</v>
      </c>
    </row>
    <row r="21" spans="1:18" ht="30.05" customHeight="1" x14ac:dyDescent="0.3">
      <c r="A21" s="2">
        <v>20</v>
      </c>
      <c r="B21" s="4" t="s">
        <v>30</v>
      </c>
      <c r="C21" s="5">
        <v>76</v>
      </c>
      <c r="D21" s="5">
        <v>74</v>
      </c>
      <c r="E21" s="5">
        <v>82</v>
      </c>
      <c r="F21" s="5">
        <v>65</v>
      </c>
      <c r="G21" s="5">
        <v>69</v>
      </c>
      <c r="H21" s="5">
        <v>73</v>
      </c>
      <c r="I21" s="5">
        <v>81</v>
      </c>
      <c r="J21" s="5">
        <v>86</v>
      </c>
      <c r="K21" s="5" t="str">
        <f t="shared" si="5"/>
        <v>Pass</v>
      </c>
      <c r="L21" s="5">
        <f t="shared" si="0"/>
        <v>3.3</v>
      </c>
      <c r="M21" s="5">
        <f t="shared" si="1"/>
        <v>65</v>
      </c>
      <c r="N21" s="5">
        <f t="shared" si="2"/>
        <v>86</v>
      </c>
      <c r="O21" s="5">
        <f t="shared" si="3"/>
        <v>75.75</v>
      </c>
      <c r="P21" s="5">
        <f t="shared" si="4"/>
        <v>606</v>
      </c>
      <c r="Q21" s="5">
        <v>1</v>
      </c>
      <c r="R21" s="5" t="s">
        <v>4</v>
      </c>
    </row>
    <row r="22" spans="1:18" x14ac:dyDescent="0.3">
      <c r="A22" s="11" t="s">
        <v>40</v>
      </c>
      <c r="B22" s="11"/>
      <c r="C22" s="7">
        <f t="shared" ref="C22:J22" si="6">AVERAGE(C2:C21)</f>
        <v>74.7</v>
      </c>
      <c r="D22" s="7">
        <f t="shared" si="6"/>
        <v>75.150000000000006</v>
      </c>
      <c r="E22" s="7">
        <f t="shared" si="6"/>
        <v>83.6</v>
      </c>
      <c r="F22" s="7">
        <f t="shared" si="6"/>
        <v>66.2</v>
      </c>
      <c r="G22" s="7">
        <f t="shared" si="6"/>
        <v>69.25</v>
      </c>
      <c r="H22" s="7">
        <f t="shared" si="6"/>
        <v>75.3</v>
      </c>
      <c r="I22" s="7">
        <f t="shared" si="6"/>
        <v>81.849999999999994</v>
      </c>
      <c r="J22" s="7">
        <f t="shared" si="6"/>
        <v>85.6</v>
      </c>
      <c r="K22" s="7"/>
      <c r="L22" s="7">
        <f t="shared" ref="L22" si="7">AVERAGE(L2:L21)</f>
        <v>3.2449999999999997</v>
      </c>
      <c r="M22" s="7"/>
      <c r="N22" s="7"/>
      <c r="O22" s="7">
        <f t="shared" ref="O22" si="8">AVERAGE(O2:O21)</f>
        <v>76.456249999999997</v>
      </c>
      <c r="P22" s="7">
        <f>AVERAGE(P2:P21)</f>
        <v>611.65</v>
      </c>
      <c r="Q22" s="6"/>
      <c r="R22" s="6"/>
    </row>
    <row r="24" spans="1:18" x14ac:dyDescent="0.3">
      <c r="A24" s="12" t="s">
        <v>97</v>
      </c>
      <c r="B24" s="12" t="s">
        <v>46</v>
      </c>
    </row>
    <row r="25" spans="1:18" x14ac:dyDescent="0.3">
      <c r="A25" s="3" t="s">
        <v>47</v>
      </c>
      <c r="B25" s="8">
        <f>SUM(C2:J2)</f>
        <v>655</v>
      </c>
    </row>
    <row r="26" spans="1:18" x14ac:dyDescent="0.3">
      <c r="A26" s="2" t="s">
        <v>48</v>
      </c>
      <c r="B26" s="9" t="str">
        <f>IF(K1=4,"A+",IF(K1&gt;=3.7,"A",IF(K1&gt;=3.3,"B+","B")))</f>
        <v>A</v>
      </c>
    </row>
    <row r="27" spans="1:18" x14ac:dyDescent="0.3">
      <c r="A27" s="2" t="s">
        <v>50</v>
      </c>
      <c r="B27" s="9" t="str">
        <f>IF(AND(L2&gt;=3.7, Q2=1),"Eligible","N/A")</f>
        <v>Eligible</v>
      </c>
    </row>
    <row r="28" spans="1:18" x14ac:dyDescent="0.3">
      <c r="A28" s="2" t="s">
        <v>98</v>
      </c>
      <c r="B28" s="9" t="str">
        <f>CONCATENATE(B2, " (", R2, ")")</f>
        <v>Haider (Punjab)</v>
      </c>
    </row>
    <row r="29" spans="1:18" x14ac:dyDescent="0.3">
      <c r="A29" s="3" t="s">
        <v>51</v>
      </c>
      <c r="B29" s="8" t="str">
        <f>IF(AND(C2&gt;=50,D2&gt;=50,E2&gt;=50),"Pass","Fail")</f>
        <v>Pass</v>
      </c>
    </row>
    <row r="30" spans="1:18" x14ac:dyDescent="0.3">
      <c r="A30" s="2" t="s">
        <v>52</v>
      </c>
      <c r="B30" s="9">
        <f>IF(N2&gt;=85,4,IF(N2&gt;=80,3.7,IF(N2&gt;=75,3.3,3)))</f>
        <v>4</v>
      </c>
    </row>
    <row r="31" spans="1:18" x14ac:dyDescent="0.3">
      <c r="A31" s="2" t="s">
        <v>53</v>
      </c>
      <c r="B31" s="9">
        <f>MIN(C2:J2)</f>
        <v>67</v>
      </c>
    </row>
    <row r="32" spans="1:18" x14ac:dyDescent="0.3">
      <c r="A32" s="2" t="s">
        <v>54</v>
      </c>
      <c r="B32" s="9">
        <f>MAX(C2:J2)</f>
        <v>91</v>
      </c>
    </row>
    <row r="33" spans="1:2" x14ac:dyDescent="0.3">
      <c r="A33" s="2" t="s">
        <v>37</v>
      </c>
      <c r="B33" s="9">
        <f>SUM(C2:J2)</f>
        <v>655</v>
      </c>
    </row>
    <row r="34" spans="1:2" x14ac:dyDescent="0.3">
      <c r="A34" s="2" t="s">
        <v>55</v>
      </c>
      <c r="B34" s="9">
        <f>AVERAGE(C2:J2)</f>
        <v>81.875</v>
      </c>
    </row>
    <row r="35" spans="1:2" x14ac:dyDescent="0.3">
      <c r="A35" s="2" t="s">
        <v>56</v>
      </c>
      <c r="B35" s="9">
        <f>MIN(C2:J2)</f>
        <v>67</v>
      </c>
    </row>
    <row r="36" spans="1:2" x14ac:dyDescent="0.3">
      <c r="A36" s="2" t="s">
        <v>57</v>
      </c>
      <c r="B36" s="9">
        <f>MAX(C2:J2)</f>
        <v>91</v>
      </c>
    </row>
    <row r="37" spans="1:2" x14ac:dyDescent="0.3">
      <c r="A37" s="2" t="s">
        <v>49</v>
      </c>
      <c r="B37" s="9" t="str">
        <f>IF(L2&gt;=50,"Pass","Fail")</f>
        <v>Fail</v>
      </c>
    </row>
    <row r="38" spans="1:2" x14ac:dyDescent="0.3">
      <c r="A38" s="2" t="s">
        <v>58</v>
      </c>
      <c r="B38" s="9">
        <f>RANK(O2,$O$2:$O$21)</f>
        <v>7</v>
      </c>
    </row>
    <row r="39" spans="1:2" x14ac:dyDescent="0.3">
      <c r="A39" s="2" t="s">
        <v>59</v>
      </c>
      <c r="B39" s="9">
        <f>STDEV(C2:J2)</f>
        <v>8.4081168266995778</v>
      </c>
    </row>
    <row r="40" spans="1:2" x14ac:dyDescent="0.3">
      <c r="A40" s="3" t="s">
        <v>60</v>
      </c>
      <c r="B40" s="8">
        <f>MEDIAN(C2:J2)</f>
        <v>83.5</v>
      </c>
    </row>
    <row r="41" spans="1:2" x14ac:dyDescent="0.3">
      <c r="A41" s="2" t="s">
        <v>61</v>
      </c>
      <c r="B41" s="9">
        <f>ABS(C2-J2)</f>
        <v>12</v>
      </c>
    </row>
    <row r="42" spans="1:2" x14ac:dyDescent="0.3">
      <c r="A42" s="2" t="s">
        <v>62</v>
      </c>
      <c r="B42" s="9">
        <f>AVERAGE(C2,E2,I2)</f>
        <v>85.666666666666671</v>
      </c>
    </row>
    <row r="43" spans="1:2" x14ac:dyDescent="0.3">
      <c r="A43" s="2" t="s">
        <v>63</v>
      </c>
      <c r="B43" s="9" t="str">
        <f>B2&amp;" ("&amp;Q2&amp;")"</f>
        <v>Haider (1)</v>
      </c>
    </row>
    <row r="44" spans="1:2" x14ac:dyDescent="0.3">
      <c r="A44" s="2" t="s">
        <v>64</v>
      </c>
      <c r="B44" s="9" t="str">
        <f>UPPER(B2)</f>
        <v>HAIDER</v>
      </c>
    </row>
    <row r="45" spans="1:2" x14ac:dyDescent="0.3">
      <c r="A45" s="2" t="s">
        <v>65</v>
      </c>
      <c r="B45" s="9">
        <f>LEN(B2)</f>
        <v>6</v>
      </c>
    </row>
    <row r="46" spans="1:2" x14ac:dyDescent="0.3">
      <c r="A46" s="3" t="s">
        <v>66</v>
      </c>
      <c r="B46" s="8" t="str">
        <f>LEFT(Q2,3)</f>
        <v>1</v>
      </c>
    </row>
    <row r="47" spans="1:2" x14ac:dyDescent="0.3">
      <c r="A47" s="2" t="s">
        <v>67</v>
      </c>
      <c r="B47" s="9" t="str">
        <f>IF(Q2=1,"Freshman","Senior")</f>
        <v>Freshman</v>
      </c>
    </row>
    <row r="48" spans="1:2" x14ac:dyDescent="0.3">
      <c r="A48" s="2" t="s">
        <v>68</v>
      </c>
      <c r="B48" s="9" t="str">
        <f>IF(L2=4,"Gold Medalist","-")</f>
        <v>-</v>
      </c>
    </row>
    <row r="49" spans="1:2" x14ac:dyDescent="0.3">
      <c r="A49" s="2" t="s">
        <v>69</v>
      </c>
      <c r="B49" s="9">
        <f>COUNTIF(C2:J2,"&gt;90")</f>
        <v>1</v>
      </c>
    </row>
    <row r="50" spans="1:2" x14ac:dyDescent="0.3">
      <c r="A50" s="2"/>
      <c r="B50" s="9"/>
    </row>
    <row r="51" spans="1:2" x14ac:dyDescent="0.3">
      <c r="A51" s="2" t="s">
        <v>70</v>
      </c>
      <c r="B51" s="9">
        <f>ROUND(L2,1)</f>
        <v>3.7</v>
      </c>
    </row>
    <row r="52" spans="1:2" x14ac:dyDescent="0.3">
      <c r="A52" s="3" t="s">
        <v>71</v>
      </c>
      <c r="B52" s="8">
        <f>COUNTIF(C2:J2,"&lt;50")</f>
        <v>0</v>
      </c>
    </row>
    <row r="53" spans="1:2" x14ac:dyDescent="0.3">
      <c r="A53" s="2" t="s">
        <v>72</v>
      </c>
      <c r="B53" s="9" t="str">
        <f>IF(P2&gt;600,"Distinction","Standard")</f>
        <v>Distinction</v>
      </c>
    </row>
    <row r="54" spans="1:2" x14ac:dyDescent="0.3">
      <c r="A54" s="2" t="s">
        <v>73</v>
      </c>
      <c r="B54" s="9" t="str">
        <f>CHOOSE(Q2,"Sem 1","Sem 2","Sem 3","Sem 4")</f>
        <v>Sem 1</v>
      </c>
    </row>
    <row r="55" spans="1:2" x14ac:dyDescent="0.3">
      <c r="A55" s="2" t="s">
        <v>74</v>
      </c>
      <c r="B55" s="9">
        <f>AVERAGE(L2:L21)</f>
        <v>3.2449999999999997</v>
      </c>
    </row>
    <row r="56" spans="1:2" x14ac:dyDescent="0.3">
      <c r="A56" s="2" t="s">
        <v>75</v>
      </c>
      <c r="B56" s="9">
        <f>MAX(O2:O21)</f>
        <v>92.5</v>
      </c>
    </row>
    <row r="57" spans="1:2" x14ac:dyDescent="0.3">
      <c r="A57" s="2" t="s">
        <v>76</v>
      </c>
      <c r="B57" s="9">
        <f>MIN(O2:O21)</f>
        <v>60.624999999999993</v>
      </c>
    </row>
    <row r="58" spans="1:2" x14ac:dyDescent="0.3">
      <c r="A58" s="3" t="s">
        <v>77</v>
      </c>
      <c r="B58" s="8">
        <f>COUNTIF(R2:R21,"Punjab")</f>
        <v>11</v>
      </c>
    </row>
    <row r="59" spans="1:2" x14ac:dyDescent="0.3">
      <c r="A59" s="2" t="s">
        <v>78</v>
      </c>
      <c r="B59" s="9">
        <f>COUNTIF(K2:K21,"Pass")</f>
        <v>20</v>
      </c>
    </row>
    <row r="60" spans="1:2" x14ac:dyDescent="0.3">
      <c r="A60" s="2" t="s">
        <v>79</v>
      </c>
      <c r="B60" s="9">
        <f>COUNTIF(R2:R21,"Sindh")</f>
        <v>3</v>
      </c>
    </row>
    <row r="61" spans="1:2" x14ac:dyDescent="0.3">
      <c r="A61" s="2" t="s">
        <v>96</v>
      </c>
      <c r="B61" s="9">
        <f>COUNTIF(R2:R21,"Punjab")</f>
        <v>11</v>
      </c>
    </row>
    <row r="62" spans="1:2" x14ac:dyDescent="0.3">
      <c r="A62" s="2" t="s">
        <v>80</v>
      </c>
      <c r="B62" s="9">
        <f>COUNTIFS(L2:L21,4,R2:R21,"Punjab")</f>
        <v>3</v>
      </c>
    </row>
    <row r="63" spans="1:2" x14ac:dyDescent="0.3">
      <c r="A63" s="2" t="s">
        <v>81</v>
      </c>
      <c r="B63" s="9">
        <f>SUM(O2:O21)</f>
        <v>1529.125</v>
      </c>
    </row>
    <row r="64" spans="1:2" x14ac:dyDescent="0.3">
      <c r="A64" s="3" t="s">
        <v>82</v>
      </c>
      <c r="B64" s="8" t="str">
        <f>INDEX(B2:B21,MATCH(MAX(O2:O21),O2:O21,0))</f>
        <v>Zohaib</v>
      </c>
    </row>
    <row r="65" spans="1:2" x14ac:dyDescent="0.3">
      <c r="A65" s="2" t="s">
        <v>83</v>
      </c>
      <c r="B65" s="9">
        <f>COUNTIF(P2:P21,1)</f>
        <v>0</v>
      </c>
    </row>
    <row r="66" spans="1:2" x14ac:dyDescent="0.3">
      <c r="A66" s="2" t="s">
        <v>84</v>
      </c>
      <c r="B66" s="9">
        <f>AVERAGE(C2:C21)</f>
        <v>74.7</v>
      </c>
    </row>
    <row r="67" spans="1:2" x14ac:dyDescent="0.3">
      <c r="A67" s="2" t="s">
        <v>85</v>
      </c>
      <c r="B67" s="9">
        <f>LARGE(O2:O21,2)</f>
        <v>91.75</v>
      </c>
    </row>
    <row r="68" spans="1:2" x14ac:dyDescent="0.3">
      <c r="A68" s="2" t="s">
        <v>86</v>
      </c>
      <c r="B68" s="9">
        <f>SMALL(O2:O21,2)</f>
        <v>61.5</v>
      </c>
    </row>
    <row r="69" spans="1:2" x14ac:dyDescent="0.3">
      <c r="A69" s="3" t="s">
        <v>87</v>
      </c>
      <c r="B69" s="8">
        <f>COUNTIF(B2:B21,"*a")</f>
        <v>6</v>
      </c>
    </row>
    <row r="70" spans="1:2" x14ac:dyDescent="0.3">
      <c r="A70" s="2" t="s">
        <v>88</v>
      </c>
      <c r="B70" s="9">
        <f>MEDIAN(L2:L21)</f>
        <v>3.3</v>
      </c>
    </row>
    <row r="71" spans="1:2" x14ac:dyDescent="0.3">
      <c r="A71" s="2" t="s">
        <v>89</v>
      </c>
      <c r="B71" s="9">
        <f>COUNTBLANK(B2:Q21)</f>
        <v>0</v>
      </c>
    </row>
    <row r="72" spans="1:2" x14ac:dyDescent="0.3">
      <c r="A72" s="2" t="s">
        <v>90</v>
      </c>
      <c r="B72" s="9">
        <f>VLOOKUP("Zohaib",B2:Q21,14,FALSE)</f>
        <v>92.5</v>
      </c>
    </row>
    <row r="73" spans="1:2" x14ac:dyDescent="0.3">
      <c r="A73" s="2" t="s">
        <v>91</v>
      </c>
      <c r="B73" s="9">
        <f>MAX(J2:J21)-MIN(J2:J21)</f>
        <v>28</v>
      </c>
    </row>
    <row r="74" spans="1:2" x14ac:dyDescent="0.3">
      <c r="A74" s="2" t="s">
        <v>92</v>
      </c>
      <c r="B74" s="9">
        <f>SUMIFS(O2:O21,P2:P21,1,Q2:Q21,"Punjab")</f>
        <v>0</v>
      </c>
    </row>
    <row r="75" spans="1:2" x14ac:dyDescent="0.3">
      <c r="A75" s="3" t="s">
        <v>93</v>
      </c>
      <c r="B75" s="8" t="str">
        <f>IF(AVERAGE(C2:C21)&gt;70,"Good","Average")</f>
        <v>Good</v>
      </c>
    </row>
    <row r="76" spans="1:2" x14ac:dyDescent="0.3">
      <c r="A76" s="2" t="s">
        <v>94</v>
      </c>
      <c r="B76" s="9">
        <f>COUNTIF(N2:N21,"&gt;90")</f>
        <v>7</v>
      </c>
    </row>
    <row r="77" spans="1:2" x14ac:dyDescent="0.3">
      <c r="A77" s="2" t="s">
        <v>95</v>
      </c>
      <c r="B77" s="9">
        <f>COUNTA(B2:B21)</f>
        <v>20</v>
      </c>
    </row>
    <row r="78" spans="1:2" x14ac:dyDescent="0.3">
      <c r="A78" s="10"/>
      <c r="B78" s="10"/>
    </row>
    <row r="79" spans="1:2" x14ac:dyDescent="0.3">
      <c r="A79" s="10"/>
      <c r="B79" s="10"/>
    </row>
    <row r="80" spans="1:2" x14ac:dyDescent="0.3">
      <c r="A80" s="10"/>
      <c r="B80" s="10"/>
    </row>
    <row r="81" spans="1:2" x14ac:dyDescent="0.3">
      <c r="A81" s="10"/>
      <c r="B81" s="10"/>
    </row>
    <row r="82" spans="1:2" x14ac:dyDescent="0.3">
      <c r="A82" s="10"/>
      <c r="B82" s="10"/>
    </row>
    <row r="83" spans="1:2" x14ac:dyDescent="0.3">
      <c r="A83" s="10"/>
      <c r="B83" s="10"/>
    </row>
    <row r="84" spans="1:2" x14ac:dyDescent="0.3">
      <c r="A84" s="10"/>
      <c r="B84" s="10"/>
    </row>
    <row r="85" spans="1:2" x14ac:dyDescent="0.3">
      <c r="A85" s="10"/>
      <c r="B85" s="10"/>
    </row>
    <row r="86" spans="1:2" x14ac:dyDescent="0.3">
      <c r="A86" s="10"/>
      <c r="B86" s="10"/>
    </row>
    <row r="87" spans="1:2" x14ac:dyDescent="0.3">
      <c r="A87" s="10"/>
      <c r="B87" s="10"/>
    </row>
    <row r="88" spans="1:2" x14ac:dyDescent="0.3">
      <c r="A88" s="10"/>
      <c r="B88" s="10"/>
    </row>
    <row r="89" spans="1:2" x14ac:dyDescent="0.3">
      <c r="A89" s="10"/>
      <c r="B89" s="10"/>
    </row>
    <row r="90" spans="1:2" x14ac:dyDescent="0.3">
      <c r="A90" s="10"/>
      <c r="B90" s="10"/>
    </row>
    <row r="91" spans="1:2" x14ac:dyDescent="0.3">
      <c r="A91" s="10"/>
      <c r="B91" s="10"/>
    </row>
    <row r="92" spans="1:2" x14ac:dyDescent="0.3">
      <c r="A92" s="10"/>
      <c r="B92" s="10"/>
    </row>
  </sheetData>
  <autoFilter ref="A1:R22" xr:uid="{784F9706-872E-49B2-A27B-0BBC83B8EA9A}">
    <sortState ref="A2:R22">
      <sortCondition ref="A1:A22"/>
    </sortState>
  </autoFilter>
  <mergeCells count="2">
    <mergeCell ref="A22:B22"/>
    <mergeCell ref="A24:B24"/>
  </mergeCells>
  <conditionalFormatting sqref="R2:R21">
    <cfRule type="cellIs" dxfId="3" priority="4" operator="equal">
      <formula>"Gilgit"</formula>
    </cfRule>
  </conditionalFormatting>
  <conditionalFormatting sqref="P1:P21">
    <cfRule type="cellIs" dxfId="2" priority="3" operator="lessThan">
      <formula>50</formula>
    </cfRule>
  </conditionalFormatting>
  <conditionalFormatting sqref="Q2:Q21">
    <cfRule type="cellIs" dxfId="1" priority="2" operator="greaterThan">
      <formula>1</formula>
    </cfRule>
  </conditionalFormatting>
  <conditionalFormatting sqref="P2:P21">
    <cfRule type="top10" dxfId="0" priority="1" percent="1" rank="1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134C-B1FE-433C-ADB0-020DF45D1E8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</dc:creator>
  <cp:lastModifiedBy>unc</cp:lastModifiedBy>
  <dcterms:created xsi:type="dcterms:W3CDTF">2026-02-18T03:53:11Z</dcterms:created>
  <dcterms:modified xsi:type="dcterms:W3CDTF">2026-02-18T17:39:47Z</dcterms:modified>
</cp:coreProperties>
</file>